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mericas" sheetId="1" r:id="rId4"/>
    <sheet state="visible" name="categoricas" sheetId="2" r:id="rId5"/>
  </sheets>
  <definedNames/>
  <calcPr/>
  <extLst>
    <ext uri="GoogleSheetsCustomDataVersion2">
      <go:sheetsCustomData xmlns:go="http://customooxmlschemas.google.com/" r:id="rId6" roundtripDataChecksum="zQcIUHKoiX8FrLMsmhGIaNHOsSqX642CUiWxfJDaoJY="/>
    </ext>
  </extLst>
</workbook>
</file>

<file path=xl/sharedStrings.xml><?xml version="1.0" encoding="utf-8"?>
<sst xmlns="http://schemas.openxmlformats.org/spreadsheetml/2006/main" count="93" uniqueCount="58">
  <si>
    <t>N</t>
  </si>
  <si>
    <t>Media</t>
  </si>
  <si>
    <t>Q1</t>
  </si>
  <si>
    <t>Mediana</t>
  </si>
  <si>
    <t>Moda</t>
  </si>
  <si>
    <t>29,41...</t>
  </si>
  <si>
    <t>Varianza</t>
  </si>
  <si>
    <t>Q2</t>
  </si>
  <si>
    <t>Desviación estándar</t>
  </si>
  <si>
    <t>Q3</t>
  </si>
  <si>
    <t>IC</t>
  </si>
  <si>
    <t>10% - 20% de rango total</t>
  </si>
  <si>
    <t>Rango total</t>
  </si>
  <si>
    <t>3,6 - 7,2</t>
  </si>
  <si>
    <t>Media - 3 std</t>
  </si>
  <si>
    <t>Media + 3 std</t>
  </si>
  <si>
    <t>Q1 - 1,5 * IC</t>
  </si>
  <si>
    <t>Q3 +1,5 * IC</t>
  </si>
  <si>
    <t>AGUSTIN</t>
  </si>
  <si>
    <t>ALEJANDRO</t>
  </si>
  <si>
    <t>#</t>
  </si>
  <si>
    <t>ALEX</t>
  </si>
  <si>
    <t>ALEXIS</t>
  </si>
  <si>
    <t>Cardinalidad (n)</t>
  </si>
  <si>
    <t>ARIADNA</t>
  </si>
  <si>
    <t>ARIEL</t>
  </si>
  <si>
    <t>Frecuencia absoluta</t>
  </si>
  <si>
    <t>BARBARA</t>
  </si>
  <si>
    <t>Frecuencia relativa (p)</t>
  </si>
  <si>
    <t>BRIAN</t>
  </si>
  <si>
    <t>Rango de frecuencias</t>
  </si>
  <si>
    <t>CARLOS</t>
  </si>
  <si>
    <t>CESAR</t>
  </si>
  <si>
    <t>DANIEL</t>
  </si>
  <si>
    <t>Proporción de la moda</t>
  </si>
  <si>
    <t>ELIANA</t>
  </si>
  <si>
    <t>Multimodalidad</t>
  </si>
  <si>
    <t>NO</t>
  </si>
  <si>
    <t>FERNANDO</t>
  </si>
  <si>
    <t>FRANCISCO</t>
  </si>
  <si>
    <t>Entropía de Shannon</t>
  </si>
  <si>
    <t>La entropia de Shannon es aproximado el maximo.</t>
  </si>
  <si>
    <t>GASPAR</t>
  </si>
  <si>
    <t>Entropía maxima</t>
  </si>
  <si>
    <t>Por lo tanto hay bastante incertidumbre</t>
  </si>
  <si>
    <t>IGNACIO</t>
  </si>
  <si>
    <t>ISMAEL</t>
  </si>
  <si>
    <t>JORGE</t>
  </si>
  <si>
    <t>JOSMAR</t>
  </si>
  <si>
    <t>JUAN CRUZ</t>
  </si>
  <si>
    <t>MAIRA</t>
  </si>
  <si>
    <t>MARIA</t>
  </si>
  <si>
    <t>MARTIN</t>
  </si>
  <si>
    <t>NICOLAS</t>
  </si>
  <si>
    <t>OSVALDO</t>
  </si>
  <si>
    <t>RICARDO</t>
  </si>
  <si>
    <t>SABRINA</t>
  </si>
  <si>
    <t>SEBASTIAN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</si>
</sst>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7">
    <font>
      <sz val="10.0"/>
      <color rgb="FF000000"/>
      <name val="Arial"/>
      <scheme val="minor"/>
    </font>
    <font>
      <sz val="16.0"/>
      <color theme="1"/>
      <name val="Arial"/>
    </font>
    <font>
      <sz val="16.0"/>
      <color rgb="FFCFE2F3"/>
      <name val="Arial"/>
    </font>
    <font>
      <i/>
      <sz val="11.0"/>
      <color theme="1"/>
      <name val="Arial"/>
    </font>
    <font>
      <sz val="14.0"/>
      <color theme="1"/>
      <name val="Arial"/>
    </font>
    <font>
      <color theme="1"/>
      <name val="Arial"/>
      <scheme val="minor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4">
    <border/>
    <border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top style="thin">
        <color rgb="FF999999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1" xfId="0" applyAlignment="1" applyBorder="1" applyFill="1" applyFont="1" applyNumberFormat="1">
      <alignment horizontal="center"/>
    </xf>
    <xf borderId="1" fillId="0" fontId="1" numFmtId="0" xfId="0" applyBorder="1" applyFont="1"/>
    <xf borderId="1" fillId="0" fontId="1" numFmtId="1" xfId="0" applyBorder="1" applyFont="1" applyNumberFormat="1"/>
    <xf borderId="0" fillId="0" fontId="1" numFmtId="0" xfId="0" applyAlignment="1" applyFont="1">
      <alignment horizontal="center"/>
    </xf>
    <xf borderId="2" fillId="2" fontId="1" numFmtId="1" xfId="0" applyAlignment="1" applyBorder="1" applyFont="1" applyNumberFormat="1">
      <alignment horizontal="center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2" fillId="3" fontId="1" numFmtId="1" xfId="0" applyAlignment="1" applyBorder="1" applyFill="1" applyFont="1" applyNumberFormat="1">
      <alignment horizont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readingOrder="0"/>
    </xf>
    <xf borderId="2" fillId="2" fontId="2" numFmtId="0" xfId="0" applyAlignment="1" applyBorder="1" applyFont="1">
      <alignment horizontal="center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4" fontId="4" numFmtId="0" xfId="0" applyBorder="1" applyFill="1" applyFon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2" fillId="4" fontId="4" numFmtId="0" xfId="0" applyBorder="1" applyFont="1"/>
    <xf borderId="2" fillId="0" fontId="4" numFmtId="0" xfId="0" applyBorder="1" applyFont="1"/>
    <xf borderId="2" fillId="0" fontId="4" numFmtId="0" xfId="0" applyAlignment="1" applyBorder="1" applyFont="1">
      <alignment readingOrder="0"/>
    </xf>
    <xf borderId="0" fillId="0" fontId="4" numFmtId="1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Font="1"/>
    <xf borderId="3" fillId="0" fontId="4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57150</xdr:colOff>
      <xdr:row>10</xdr:row>
      <xdr:rowOff>47625</xdr:rowOff>
    </xdr:from>
    <xdr:ext cx="2847975" cy="7905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7</xdr:row>
      <xdr:rowOff>38100</xdr:rowOff>
    </xdr:from>
    <xdr:ext cx="2114550" cy="7524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</xdr:row>
      <xdr:rowOff>76200</xdr:rowOff>
    </xdr:from>
    <xdr:ext cx="1457325" cy="7905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1304925</xdr:colOff>
      <xdr:row>17</xdr:row>
      <xdr:rowOff>104775</xdr:rowOff>
    </xdr:from>
    <xdr:ext cx="3190875" cy="10572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8.88"/>
    <col customWidth="1" min="3" max="3" width="13.88"/>
    <col customWidth="1" min="4" max="4" width="11.88"/>
    <col customWidth="1" min="5" max="5" width="13.63"/>
    <col customWidth="1" min="6" max="7" width="18.13"/>
    <col customWidth="1" min="8" max="8" width="10.25"/>
    <col customWidth="1" min="9" max="9" width="13.13"/>
    <col customWidth="1" min="10" max="10" width="24.5"/>
    <col customWidth="1" min="11" max="11" width="16.75"/>
    <col customWidth="1" min="12" max="12" width="33.0"/>
    <col customWidth="1" min="13" max="13" width="18.13"/>
  </cols>
  <sheetData>
    <row r="1" ht="21.75" customHeight="1">
      <c r="A1" s="1"/>
      <c r="B1" s="1"/>
      <c r="C1" s="2">
        <v>23.0</v>
      </c>
      <c r="D1" s="3"/>
      <c r="E1" s="4">
        <f t="shared" ref="E1:E22" si="1">C1-$K$4</f>
        <v>-12.86363636</v>
      </c>
      <c r="F1" s="3">
        <f t="shared" ref="F1:F22" si="2">E1^2</f>
        <v>165.4731405</v>
      </c>
      <c r="G1" s="3"/>
      <c r="H1" s="1"/>
      <c r="I1" s="1"/>
      <c r="J1" s="1"/>
      <c r="K1" s="5"/>
      <c r="L1" s="1"/>
      <c r="M1" s="1"/>
    </row>
    <row r="2" ht="21.75" customHeight="1">
      <c r="A2" s="1"/>
      <c r="B2" s="1"/>
      <c r="C2" s="6">
        <v>24.0</v>
      </c>
      <c r="D2" s="7"/>
      <c r="E2" s="4">
        <f t="shared" si="1"/>
        <v>-11.86363636</v>
      </c>
      <c r="F2" s="3">
        <f t="shared" si="2"/>
        <v>140.7458678</v>
      </c>
      <c r="G2" s="7"/>
      <c r="H2" s="1"/>
      <c r="I2" s="1"/>
      <c r="J2" s="8" t="s">
        <v>0</v>
      </c>
      <c r="K2" s="8">
        <v>22.0</v>
      </c>
      <c r="L2" s="1"/>
      <c r="M2" s="1"/>
    </row>
    <row r="3" ht="21.75" customHeight="1">
      <c r="A3" s="1"/>
      <c r="B3" s="1"/>
      <c r="C3" s="6">
        <v>26.0</v>
      </c>
      <c r="D3" s="7"/>
      <c r="E3" s="4">
        <f t="shared" si="1"/>
        <v>-9.863636364</v>
      </c>
      <c r="F3" s="3">
        <f t="shared" si="2"/>
        <v>97.29132231</v>
      </c>
      <c r="G3" s="7"/>
      <c r="H3" s="1"/>
      <c r="I3" s="1"/>
      <c r="J3" s="8"/>
      <c r="K3" s="8"/>
      <c r="L3" s="1"/>
      <c r="M3" s="1"/>
    </row>
    <row r="4" ht="21.75" customHeight="1">
      <c r="A4" s="1"/>
      <c r="B4" s="1"/>
      <c r="C4" s="6">
        <v>27.0</v>
      </c>
      <c r="D4" s="7"/>
      <c r="E4" s="4">
        <f t="shared" si="1"/>
        <v>-8.863636364</v>
      </c>
      <c r="F4" s="3">
        <f t="shared" si="2"/>
        <v>78.56404959</v>
      </c>
      <c r="G4" s="7"/>
      <c r="H4" s="1"/>
      <c r="I4" s="1"/>
      <c r="J4" s="8" t="s">
        <v>1</v>
      </c>
      <c r="K4" s="8">
        <f>SUM(C:C)/22</f>
        <v>35.86363636</v>
      </c>
      <c r="L4" s="1"/>
      <c r="M4" s="1"/>
    </row>
    <row r="5" ht="21.75" customHeight="1">
      <c r="A5" s="1"/>
      <c r="B5" s="1"/>
      <c r="C5" s="6">
        <v>28.0</v>
      </c>
      <c r="D5" s="7"/>
      <c r="E5" s="4">
        <f t="shared" si="1"/>
        <v>-7.863636364</v>
      </c>
      <c r="F5" s="3">
        <f t="shared" si="2"/>
        <v>61.83677686</v>
      </c>
      <c r="G5" s="7"/>
      <c r="H5" s="1"/>
      <c r="I5" s="1"/>
      <c r="J5" s="8"/>
      <c r="K5" s="8"/>
      <c r="L5" s="1"/>
      <c r="M5" s="1"/>
    </row>
    <row r="6" ht="21.75" customHeight="1">
      <c r="A6" s="1"/>
      <c r="B6" s="1" t="s">
        <v>2</v>
      </c>
      <c r="C6" s="9">
        <v>29.0</v>
      </c>
      <c r="D6" s="7"/>
      <c r="E6" s="4">
        <f t="shared" si="1"/>
        <v>-6.863636364</v>
      </c>
      <c r="F6" s="3">
        <f t="shared" si="2"/>
        <v>47.10950413</v>
      </c>
      <c r="G6" s="7"/>
      <c r="H6" s="1"/>
      <c r="I6" s="1"/>
      <c r="J6" s="8" t="s">
        <v>3</v>
      </c>
      <c r="K6" s="8">
        <v>34.5</v>
      </c>
      <c r="L6" s="1"/>
      <c r="M6" s="1"/>
    </row>
    <row r="7" ht="21.75" customHeight="1">
      <c r="A7" s="1"/>
      <c r="B7" s="1"/>
      <c r="C7" s="9">
        <v>29.0</v>
      </c>
      <c r="D7" s="7"/>
      <c r="E7" s="4">
        <f t="shared" si="1"/>
        <v>-6.863636364</v>
      </c>
      <c r="F7" s="3">
        <f t="shared" si="2"/>
        <v>47.10950413</v>
      </c>
      <c r="G7" s="7"/>
      <c r="H7" s="1"/>
      <c r="I7" s="1"/>
      <c r="J7" s="8" t="s">
        <v>4</v>
      </c>
      <c r="K7" s="8" t="s">
        <v>5</v>
      </c>
      <c r="L7" s="1"/>
      <c r="M7" s="1"/>
    </row>
    <row r="8" ht="21.75" customHeight="1">
      <c r="A8" s="1"/>
      <c r="B8" s="1"/>
      <c r="C8" s="9">
        <v>30.0</v>
      </c>
      <c r="D8" s="7"/>
      <c r="E8" s="4">
        <f t="shared" si="1"/>
        <v>-5.863636364</v>
      </c>
      <c r="F8" s="3">
        <f t="shared" si="2"/>
        <v>34.3822314</v>
      </c>
      <c r="G8" s="7"/>
      <c r="H8" s="1"/>
      <c r="I8" s="1"/>
      <c r="J8" s="8"/>
      <c r="K8" s="8"/>
      <c r="L8" s="1"/>
      <c r="M8" s="1"/>
    </row>
    <row r="9" ht="21.75" customHeight="1">
      <c r="A9" s="1"/>
      <c r="B9" s="1"/>
      <c r="C9" s="9">
        <v>33.0</v>
      </c>
      <c r="D9" s="7"/>
      <c r="E9" s="4">
        <f t="shared" si="1"/>
        <v>-2.863636364</v>
      </c>
      <c r="F9" s="3">
        <f t="shared" si="2"/>
        <v>8.200413223</v>
      </c>
      <c r="G9" s="7"/>
      <c r="H9" s="1"/>
      <c r="I9" s="1"/>
      <c r="J9" s="8" t="s">
        <v>6</v>
      </c>
      <c r="K9" s="8">
        <f>SUM(F:F)/21</f>
        <v>84.12337662</v>
      </c>
      <c r="L9" s="1"/>
      <c r="M9" s="1"/>
    </row>
    <row r="10" ht="21.75" customHeight="1">
      <c r="A10" s="1"/>
      <c r="B10" s="1"/>
      <c r="C10" s="9">
        <v>34.0</v>
      </c>
      <c r="D10" s="7"/>
      <c r="E10" s="4">
        <f t="shared" si="1"/>
        <v>-1.863636364</v>
      </c>
      <c r="F10" s="3">
        <f t="shared" si="2"/>
        <v>3.473140496</v>
      </c>
      <c r="G10" s="7"/>
      <c r="H10" s="1"/>
      <c r="I10" s="1"/>
      <c r="J10" s="8"/>
      <c r="K10" s="8"/>
      <c r="L10" s="1"/>
      <c r="M10" s="1"/>
    </row>
    <row r="11" ht="21.75" customHeight="1">
      <c r="A11" s="1"/>
      <c r="B11" s="1" t="s">
        <v>7</v>
      </c>
      <c r="C11" s="9">
        <v>34.0</v>
      </c>
      <c r="D11" s="7"/>
      <c r="E11" s="4">
        <f t="shared" si="1"/>
        <v>-1.863636364</v>
      </c>
      <c r="F11" s="3">
        <f t="shared" si="2"/>
        <v>3.473140496</v>
      </c>
      <c r="G11" s="7"/>
      <c r="H11" s="1"/>
      <c r="I11" s="1"/>
      <c r="J11" s="8"/>
      <c r="K11" s="8"/>
      <c r="L11" s="1"/>
      <c r="M11" s="1"/>
    </row>
    <row r="12" ht="21.75" customHeight="1">
      <c r="A12" s="1"/>
      <c r="B12" s="1"/>
      <c r="C12" s="9">
        <v>35.0</v>
      </c>
      <c r="D12" s="7"/>
      <c r="E12" s="4">
        <f t="shared" si="1"/>
        <v>-0.8636363636</v>
      </c>
      <c r="F12" s="3">
        <f t="shared" si="2"/>
        <v>0.7458677686</v>
      </c>
      <c r="G12" s="7"/>
      <c r="H12" s="1"/>
      <c r="I12" s="1"/>
      <c r="J12" s="8" t="s">
        <v>8</v>
      </c>
      <c r="K12" s="8">
        <f>K9^(1/2)</f>
        <v>9.171879667</v>
      </c>
      <c r="L12" s="1"/>
      <c r="M12" s="1"/>
    </row>
    <row r="13" ht="21.75" customHeight="1">
      <c r="A13" s="1"/>
      <c r="B13" s="10"/>
      <c r="C13" s="9">
        <v>36.0</v>
      </c>
      <c r="D13" s="7"/>
      <c r="E13" s="4">
        <f t="shared" si="1"/>
        <v>0.1363636364</v>
      </c>
      <c r="F13" s="3">
        <f t="shared" si="2"/>
        <v>0.01859504132</v>
      </c>
      <c r="G13" s="7"/>
      <c r="H13" s="1"/>
      <c r="I13" s="1"/>
      <c r="J13" s="8"/>
      <c r="K13" s="8"/>
      <c r="L13" s="1"/>
      <c r="M13" s="1"/>
    </row>
    <row r="14" ht="21.75" customHeight="1">
      <c r="A14" s="1"/>
      <c r="B14" s="10"/>
      <c r="C14" s="9">
        <v>36.0</v>
      </c>
      <c r="D14" s="7"/>
      <c r="E14" s="4">
        <f t="shared" si="1"/>
        <v>0.1363636364</v>
      </c>
      <c r="F14" s="3">
        <f t="shared" si="2"/>
        <v>0.01859504132</v>
      </c>
      <c r="G14" s="7"/>
      <c r="H14" s="1"/>
      <c r="I14" s="1"/>
      <c r="J14" s="8"/>
      <c r="K14" s="8"/>
      <c r="L14" s="1"/>
      <c r="M14" s="1"/>
    </row>
    <row r="15" ht="21.75" customHeight="1">
      <c r="A15" s="1"/>
      <c r="B15" s="1"/>
      <c r="C15" s="9">
        <v>38.0</v>
      </c>
      <c r="D15" s="7"/>
      <c r="E15" s="4">
        <f t="shared" si="1"/>
        <v>2.136363636</v>
      </c>
      <c r="F15" s="3">
        <f t="shared" si="2"/>
        <v>4.564049587</v>
      </c>
      <c r="G15" s="7"/>
      <c r="H15" s="1"/>
      <c r="I15" s="1"/>
      <c r="J15" s="8" t="s">
        <v>2</v>
      </c>
      <c r="K15" s="8">
        <v>29.0</v>
      </c>
      <c r="L15" s="1"/>
      <c r="M15" s="1"/>
    </row>
    <row r="16" ht="21.75" customHeight="1">
      <c r="A16" s="1"/>
      <c r="B16" s="1"/>
      <c r="C16" s="9">
        <v>41.0</v>
      </c>
      <c r="D16" s="7"/>
      <c r="E16" s="4">
        <f t="shared" si="1"/>
        <v>5.136363636</v>
      </c>
      <c r="F16" s="3">
        <f t="shared" si="2"/>
        <v>26.3822314</v>
      </c>
      <c r="G16" s="7"/>
      <c r="H16" s="1"/>
      <c r="I16" s="1"/>
      <c r="J16" s="8" t="s">
        <v>7</v>
      </c>
      <c r="K16" s="8">
        <v>34.5</v>
      </c>
      <c r="L16" s="1"/>
      <c r="M16" s="1"/>
    </row>
    <row r="17" ht="21.75" customHeight="1">
      <c r="A17" s="1"/>
      <c r="B17" s="1" t="s">
        <v>9</v>
      </c>
      <c r="C17" s="9">
        <v>41.0</v>
      </c>
      <c r="D17" s="7"/>
      <c r="E17" s="4">
        <f t="shared" si="1"/>
        <v>5.136363636</v>
      </c>
      <c r="F17" s="3">
        <f t="shared" si="2"/>
        <v>26.3822314</v>
      </c>
      <c r="G17" s="7"/>
      <c r="H17" s="1"/>
      <c r="I17" s="1"/>
      <c r="J17" s="8" t="s">
        <v>9</v>
      </c>
      <c r="K17" s="8">
        <v>41.0</v>
      </c>
      <c r="L17" s="1"/>
      <c r="M17" s="1"/>
    </row>
    <row r="18" ht="21.75" customHeight="1">
      <c r="A18" s="1"/>
      <c r="B18" s="1"/>
      <c r="C18" s="6">
        <v>42.0</v>
      </c>
      <c r="D18" s="7"/>
      <c r="E18" s="4">
        <f t="shared" si="1"/>
        <v>6.136363636</v>
      </c>
      <c r="F18" s="3">
        <f t="shared" si="2"/>
        <v>37.65495868</v>
      </c>
      <c r="G18" s="7"/>
      <c r="H18" s="1"/>
      <c r="I18" s="1"/>
      <c r="J18" s="8"/>
      <c r="K18" s="8"/>
      <c r="L18" s="1"/>
      <c r="M18" s="1"/>
    </row>
    <row r="19" ht="21.75" customHeight="1">
      <c r="A19" s="1"/>
      <c r="B19" s="1"/>
      <c r="C19" s="6">
        <v>46.0</v>
      </c>
      <c r="D19" s="7"/>
      <c r="E19" s="4">
        <f t="shared" si="1"/>
        <v>10.13636364</v>
      </c>
      <c r="F19" s="3">
        <f t="shared" si="2"/>
        <v>102.7458678</v>
      </c>
      <c r="G19" s="7"/>
      <c r="H19" s="1"/>
      <c r="I19" s="1"/>
      <c r="J19" s="8" t="s">
        <v>10</v>
      </c>
      <c r="K19" s="8">
        <f>K17-K15</f>
        <v>12</v>
      </c>
      <c r="L19" s="11" t="s">
        <v>11</v>
      </c>
      <c r="M19" s="1"/>
    </row>
    <row r="20" ht="21.75" customHeight="1">
      <c r="A20" s="1"/>
      <c r="B20" s="1"/>
      <c r="C20" s="6">
        <v>49.0</v>
      </c>
      <c r="D20" s="7"/>
      <c r="E20" s="4">
        <f t="shared" si="1"/>
        <v>13.13636364</v>
      </c>
      <c r="F20" s="3">
        <f t="shared" si="2"/>
        <v>172.5640496</v>
      </c>
      <c r="G20" s="7"/>
      <c r="H20" s="1"/>
      <c r="I20" s="1"/>
      <c r="J20" s="8" t="s">
        <v>12</v>
      </c>
      <c r="K20" s="8">
        <f>59-23</f>
        <v>36</v>
      </c>
      <c r="L20" s="5" t="s">
        <v>13</v>
      </c>
      <c r="M20" s="1"/>
    </row>
    <row r="21" ht="21.75" customHeight="1">
      <c r="A21" s="1"/>
      <c r="B21" s="1"/>
      <c r="C21" s="6">
        <v>49.0</v>
      </c>
      <c r="D21" s="7"/>
      <c r="E21" s="4">
        <f t="shared" si="1"/>
        <v>13.13636364</v>
      </c>
      <c r="F21" s="3">
        <f t="shared" si="2"/>
        <v>172.5640496</v>
      </c>
      <c r="G21" s="7"/>
      <c r="H21" s="1"/>
      <c r="I21" s="1"/>
      <c r="J21" s="12" t="s">
        <v>14</v>
      </c>
      <c r="K21" s="12">
        <f>K4-3*K12</f>
        <v>8.347997363</v>
      </c>
      <c r="L21" s="1"/>
      <c r="M21" s="1"/>
    </row>
    <row r="22" ht="21.75" customHeight="1">
      <c r="A22" s="1"/>
      <c r="B22" s="1"/>
      <c r="C22" s="6">
        <v>59.0</v>
      </c>
      <c r="D22" s="7"/>
      <c r="E22" s="4">
        <f t="shared" si="1"/>
        <v>23.13636364</v>
      </c>
      <c r="F22" s="3">
        <f t="shared" si="2"/>
        <v>535.2913223</v>
      </c>
      <c r="G22" s="7"/>
      <c r="H22" s="1"/>
      <c r="I22" s="1"/>
      <c r="J22" s="12" t="s">
        <v>15</v>
      </c>
      <c r="K22" s="12">
        <f>K4+3*K12</f>
        <v>63.37927536</v>
      </c>
      <c r="L22" s="1"/>
      <c r="M22" s="1"/>
    </row>
    <row r="23" ht="21.75" customHeight="1">
      <c r="A23" s="1"/>
      <c r="B23" s="1"/>
      <c r="C23" s="6"/>
      <c r="D23" s="7"/>
      <c r="E23" s="3"/>
      <c r="F23" s="7"/>
      <c r="G23" s="7"/>
      <c r="H23" s="1"/>
      <c r="I23" s="1"/>
      <c r="J23" s="12" t="s">
        <v>16</v>
      </c>
      <c r="K23" s="12">
        <f>K15-1.5*K19</f>
        <v>11</v>
      </c>
      <c r="L23" s="1"/>
      <c r="M23" s="1"/>
    </row>
    <row r="24" ht="21.75" customHeight="1">
      <c r="A24" s="1"/>
      <c r="B24" s="1"/>
      <c r="C24" s="6"/>
      <c r="D24" s="7"/>
      <c r="E24" s="3"/>
      <c r="F24" s="7"/>
      <c r="G24" s="7"/>
      <c r="H24" s="1"/>
      <c r="I24" s="1"/>
      <c r="J24" s="12" t="s">
        <v>17</v>
      </c>
      <c r="K24" s="12">
        <f>K17+1.5*K19</f>
        <v>59</v>
      </c>
      <c r="L24" s="1"/>
      <c r="M24" s="1"/>
    </row>
    <row r="25" ht="21.75" customHeight="1">
      <c r="A25" s="1"/>
      <c r="B25" s="1"/>
      <c r="C25" s="6"/>
      <c r="D25" s="7"/>
      <c r="E25" s="3"/>
      <c r="F25" s="7"/>
      <c r="G25" s="7"/>
      <c r="H25" s="1"/>
      <c r="I25" s="1"/>
      <c r="J25" s="5"/>
      <c r="K25" s="5"/>
      <c r="L25" s="1"/>
      <c r="M25" s="1"/>
    </row>
    <row r="26" ht="21.75" customHeight="1">
      <c r="A26" s="1"/>
      <c r="B26" s="1"/>
      <c r="C26" s="6"/>
      <c r="D26" s="7"/>
      <c r="E26" s="3"/>
      <c r="F26" s="7"/>
      <c r="G26" s="7"/>
      <c r="H26" s="1"/>
      <c r="I26" s="1"/>
      <c r="J26" s="5"/>
      <c r="K26" s="5"/>
      <c r="L26" s="1"/>
      <c r="M26" s="1"/>
    </row>
    <row r="27" ht="21.75" customHeight="1">
      <c r="A27" s="1"/>
      <c r="B27" s="1"/>
      <c r="C27" s="6"/>
      <c r="D27" s="7"/>
      <c r="E27" s="7"/>
      <c r="F27" s="7"/>
      <c r="G27" s="7"/>
      <c r="H27" s="1"/>
      <c r="I27" s="1"/>
      <c r="J27" s="5"/>
      <c r="K27" s="5"/>
      <c r="L27" s="1"/>
      <c r="M27" s="1"/>
    </row>
    <row r="28" ht="21.75" customHeight="1">
      <c r="A28" s="1"/>
      <c r="B28" s="1"/>
      <c r="C28" s="6"/>
      <c r="D28" s="7"/>
      <c r="E28" s="7"/>
      <c r="F28" s="7"/>
      <c r="G28" s="7"/>
      <c r="H28" s="1"/>
      <c r="I28" s="1"/>
      <c r="J28" s="5"/>
      <c r="K28" s="5"/>
      <c r="L28" s="1"/>
      <c r="M28" s="1"/>
    </row>
    <row r="29" ht="21.75" customHeight="1">
      <c r="A29" s="1"/>
      <c r="B29" s="1"/>
      <c r="C29" s="6"/>
      <c r="D29" s="7"/>
      <c r="E29" s="7"/>
      <c r="F29" s="7"/>
      <c r="G29" s="7"/>
      <c r="H29" s="1"/>
      <c r="I29" s="1"/>
      <c r="J29" s="1"/>
      <c r="K29" s="5"/>
      <c r="L29" s="1"/>
      <c r="M29" s="1"/>
    </row>
    <row r="30" ht="21.75" customHeight="1">
      <c r="A30" s="1"/>
      <c r="B30" s="1"/>
      <c r="C30" s="6"/>
      <c r="D30" s="7"/>
      <c r="E30" s="7"/>
      <c r="F30" s="7"/>
      <c r="G30" s="7"/>
      <c r="H30" s="1"/>
      <c r="I30" s="1"/>
      <c r="J30" s="1"/>
      <c r="K30" s="5"/>
      <c r="L30" s="1"/>
      <c r="M30" s="1"/>
    </row>
    <row r="31" ht="21.75" customHeight="1">
      <c r="A31" s="1"/>
      <c r="B31" s="1"/>
      <c r="C31" s="6"/>
      <c r="D31" s="7"/>
      <c r="E31" s="7"/>
      <c r="F31" s="7"/>
      <c r="G31" s="7"/>
      <c r="H31" s="1"/>
      <c r="I31" s="1"/>
      <c r="J31" s="1"/>
      <c r="K31" s="5"/>
      <c r="L31" s="1"/>
      <c r="M31" s="1"/>
    </row>
    <row r="32" ht="21.75" customHeight="1">
      <c r="A32" s="1"/>
      <c r="B32" s="1"/>
      <c r="C32" s="6"/>
      <c r="D32" s="7"/>
      <c r="E32" s="7"/>
      <c r="F32" s="7"/>
      <c r="G32" s="7"/>
      <c r="H32" s="1"/>
      <c r="I32" s="1"/>
      <c r="J32" s="1"/>
      <c r="K32" s="5"/>
      <c r="L32" s="1"/>
      <c r="M32" s="1"/>
    </row>
    <row r="33" ht="21.75" customHeight="1">
      <c r="A33" s="1"/>
      <c r="B33" s="1"/>
      <c r="C33" s="13"/>
      <c r="D33" s="1"/>
      <c r="E33" s="1"/>
      <c r="F33" s="1"/>
      <c r="G33" s="1"/>
      <c r="H33" s="1"/>
      <c r="I33" s="1"/>
      <c r="J33" s="1"/>
      <c r="K33" s="5"/>
      <c r="L33" s="1"/>
      <c r="M33" s="1"/>
    </row>
    <row r="34" ht="21.75" customHeight="1">
      <c r="A34" s="1"/>
      <c r="B34" s="1"/>
      <c r="C34" s="13"/>
      <c r="D34" s="1"/>
      <c r="E34" s="1"/>
      <c r="F34" s="1"/>
      <c r="G34" s="1"/>
      <c r="H34" s="1"/>
      <c r="I34" s="1"/>
      <c r="J34" s="1"/>
      <c r="K34" s="5"/>
      <c r="L34" s="1"/>
      <c r="M34" s="1"/>
    </row>
    <row r="35" ht="21.75" customHeight="1">
      <c r="A35" s="1"/>
      <c r="B35" s="1"/>
      <c r="C35" s="13"/>
      <c r="D35" s="1"/>
      <c r="E35" s="1"/>
      <c r="F35" s="1"/>
      <c r="G35" s="1"/>
      <c r="H35" s="1"/>
      <c r="I35" s="1"/>
      <c r="J35" s="1"/>
      <c r="K35" s="5"/>
      <c r="L35" s="1"/>
      <c r="M35" s="1"/>
    </row>
    <row r="36" ht="21.75" customHeight="1">
      <c r="A36" s="1"/>
      <c r="B36" s="1"/>
      <c r="C36" s="13"/>
      <c r="D36" s="1"/>
      <c r="E36" s="1"/>
      <c r="F36" s="1"/>
      <c r="G36" s="1"/>
      <c r="H36" s="1"/>
      <c r="I36" s="1"/>
      <c r="J36" s="1"/>
      <c r="K36" s="5"/>
      <c r="L36" s="1"/>
      <c r="M36" s="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28.38"/>
    <col customWidth="1" min="3" max="3" width="14.38"/>
    <col customWidth="1" min="4" max="4" width="24.88"/>
    <col customWidth="1" min="5" max="5" width="12.88"/>
    <col customWidth="1" min="6" max="6" width="16.0"/>
    <col customWidth="1" min="7" max="7" width="16.5"/>
    <col customWidth="1" min="8" max="8" width="34.25"/>
    <col customWidth="1" min="9" max="9" width="26.88"/>
    <col customWidth="1" min="10" max="10" width="36.0"/>
  </cols>
  <sheetData>
    <row r="1" ht="21.75" customHeight="1">
      <c r="A1" s="14"/>
      <c r="B1" s="15" t="s">
        <v>18</v>
      </c>
      <c r="C1" s="16"/>
      <c r="D1" s="16" t="str">
        <f t="array" ref="D1:D28">UNIQUE(B1:B32)</f>
        <v>AGUSTIN</v>
      </c>
      <c r="E1" s="17">
        <v>1.0</v>
      </c>
      <c r="F1" s="16">
        <f t="shared" ref="F1:F28" si="1">E1/$I$2</f>
        <v>0.03125</v>
      </c>
      <c r="G1" s="18">
        <f t="shared" ref="G1:G28" si="2">F1*LOG(F1)</f>
        <v>-0.04703593682</v>
      </c>
      <c r="H1" s="19"/>
      <c r="I1" s="20"/>
    </row>
    <row r="2" ht="21.75" customHeight="1">
      <c r="A2" s="14"/>
      <c r="B2" s="21" t="s">
        <v>19</v>
      </c>
      <c r="C2" s="22"/>
      <c r="D2" s="22" t="s">
        <v>19</v>
      </c>
      <c r="E2" s="23">
        <v>1.0</v>
      </c>
      <c r="F2" s="16">
        <f t="shared" si="1"/>
        <v>0.03125</v>
      </c>
      <c r="G2" s="18">
        <f t="shared" si="2"/>
        <v>-0.04703593682</v>
      </c>
      <c r="H2" s="19" t="s">
        <v>20</v>
      </c>
      <c r="I2" s="24">
        <f>COUNTA(B1:B32)</f>
        <v>32</v>
      </c>
    </row>
    <row r="3" ht="21.75" customHeight="1">
      <c r="A3" s="14"/>
      <c r="B3" s="21" t="s">
        <v>21</v>
      </c>
      <c r="C3" s="22"/>
      <c r="D3" s="22" t="s">
        <v>21</v>
      </c>
      <c r="E3" s="23">
        <v>1.0</v>
      </c>
      <c r="F3" s="16">
        <f t="shared" si="1"/>
        <v>0.03125</v>
      </c>
      <c r="G3" s="18">
        <f t="shared" si="2"/>
        <v>-0.04703593682</v>
      </c>
      <c r="H3" s="25"/>
      <c r="I3" s="20"/>
    </row>
    <row r="4" ht="21.75" customHeight="1">
      <c r="A4" s="14"/>
      <c r="B4" s="21" t="s">
        <v>22</v>
      </c>
      <c r="C4" s="22"/>
      <c r="D4" s="22" t="s">
        <v>22</v>
      </c>
      <c r="E4" s="23">
        <v>1.0</v>
      </c>
      <c r="F4" s="16">
        <f t="shared" si="1"/>
        <v>0.03125</v>
      </c>
      <c r="G4" s="18">
        <f t="shared" si="2"/>
        <v>-0.04703593682</v>
      </c>
      <c r="H4" s="25" t="s">
        <v>23</v>
      </c>
      <c r="I4" s="24">
        <f>COUNTA(D1:D28)</f>
        <v>28</v>
      </c>
    </row>
    <row r="5" ht="21.75" customHeight="1">
      <c r="A5" s="14"/>
      <c r="B5" s="21" t="s">
        <v>24</v>
      </c>
      <c r="C5" s="22"/>
      <c r="D5" s="22" t="s">
        <v>24</v>
      </c>
      <c r="E5" s="23">
        <v>1.0</v>
      </c>
      <c r="F5" s="16">
        <f t="shared" si="1"/>
        <v>0.03125</v>
      </c>
      <c r="G5" s="18">
        <f t="shared" si="2"/>
        <v>-0.04703593682</v>
      </c>
      <c r="H5" s="19"/>
      <c r="I5" s="20"/>
    </row>
    <row r="6" ht="21.75" customHeight="1">
      <c r="A6" s="14"/>
      <c r="B6" s="21" t="s">
        <v>25</v>
      </c>
      <c r="C6" s="22"/>
      <c r="D6" s="22" t="s">
        <v>25</v>
      </c>
      <c r="E6" s="23">
        <v>1.0</v>
      </c>
      <c r="F6" s="16">
        <f t="shared" si="1"/>
        <v>0.03125</v>
      </c>
      <c r="G6" s="18">
        <f t="shared" si="2"/>
        <v>-0.04703593682</v>
      </c>
      <c r="H6" s="19" t="s">
        <v>26</v>
      </c>
      <c r="I6" s="20"/>
    </row>
    <row r="7" ht="21.75" customHeight="1">
      <c r="A7" s="14"/>
      <c r="B7" s="21" t="s">
        <v>27</v>
      </c>
      <c r="C7" s="22"/>
      <c r="D7" s="22" t="s">
        <v>27</v>
      </c>
      <c r="E7" s="23">
        <v>1.0</v>
      </c>
      <c r="F7" s="16">
        <f t="shared" si="1"/>
        <v>0.03125</v>
      </c>
      <c r="G7" s="18">
        <f t="shared" si="2"/>
        <v>-0.04703593682</v>
      </c>
      <c r="H7" s="19" t="s">
        <v>28</v>
      </c>
      <c r="I7" s="20"/>
    </row>
    <row r="8" ht="21.75" customHeight="1">
      <c r="A8" s="14"/>
      <c r="B8" s="21" t="s">
        <v>29</v>
      </c>
      <c r="C8" s="22"/>
      <c r="D8" s="22" t="s">
        <v>29</v>
      </c>
      <c r="E8" s="23">
        <v>1.0</v>
      </c>
      <c r="F8" s="16">
        <f t="shared" si="1"/>
        <v>0.03125</v>
      </c>
      <c r="G8" s="18">
        <f t="shared" si="2"/>
        <v>-0.04703593682</v>
      </c>
      <c r="H8" s="19" t="s">
        <v>30</v>
      </c>
      <c r="I8" s="20">
        <f>MAX(E1:E28)-MIN(E1:E28)</f>
        <v>2</v>
      </c>
    </row>
    <row r="9" ht="21.75" customHeight="1">
      <c r="A9" s="14"/>
      <c r="B9" s="21" t="s">
        <v>31</v>
      </c>
      <c r="C9" s="22"/>
      <c r="D9" s="22" t="s">
        <v>31</v>
      </c>
      <c r="E9" s="23">
        <v>1.0</v>
      </c>
      <c r="F9" s="16">
        <f t="shared" si="1"/>
        <v>0.03125</v>
      </c>
      <c r="G9" s="18">
        <f t="shared" si="2"/>
        <v>-0.04703593682</v>
      </c>
      <c r="H9" s="19"/>
      <c r="I9" s="20"/>
    </row>
    <row r="10" ht="21.75" customHeight="1">
      <c r="A10" s="14"/>
      <c r="B10" s="21" t="s">
        <v>32</v>
      </c>
      <c r="C10" s="22"/>
      <c r="D10" s="22" t="s">
        <v>32</v>
      </c>
      <c r="E10" s="23">
        <v>1.0</v>
      </c>
      <c r="F10" s="16">
        <f t="shared" si="1"/>
        <v>0.03125</v>
      </c>
      <c r="G10" s="18">
        <f t="shared" si="2"/>
        <v>-0.04703593682</v>
      </c>
      <c r="H10" s="19" t="s">
        <v>4</v>
      </c>
      <c r="I10" s="20" t="str">
        <f>D22</f>
        <v>MARIA</v>
      </c>
    </row>
    <row r="11" ht="21.75" customHeight="1">
      <c r="A11" s="14"/>
      <c r="B11" s="21" t="s">
        <v>33</v>
      </c>
      <c r="C11" s="22"/>
      <c r="D11" s="22" t="s">
        <v>33</v>
      </c>
      <c r="E11" s="23">
        <v>2.0</v>
      </c>
      <c r="F11" s="16">
        <f t="shared" si="1"/>
        <v>0.0625</v>
      </c>
      <c r="G11" s="18">
        <f t="shared" si="2"/>
        <v>-0.07525749892</v>
      </c>
      <c r="H11" s="19" t="s">
        <v>34</v>
      </c>
      <c r="I11" s="26">
        <f>F22</f>
        <v>0.09375</v>
      </c>
    </row>
    <row r="12" ht="21.75" customHeight="1">
      <c r="A12" s="14"/>
      <c r="B12" s="21" t="s">
        <v>33</v>
      </c>
      <c r="C12" s="22"/>
      <c r="D12" s="22" t="s">
        <v>35</v>
      </c>
      <c r="E12" s="23">
        <v>1.0</v>
      </c>
      <c r="F12" s="16">
        <f t="shared" si="1"/>
        <v>0.03125</v>
      </c>
      <c r="G12" s="18">
        <f t="shared" si="2"/>
        <v>-0.04703593682</v>
      </c>
      <c r="H12" s="19" t="s">
        <v>36</v>
      </c>
      <c r="I12" s="24" t="s">
        <v>37</v>
      </c>
    </row>
    <row r="13" ht="21.75" customHeight="1">
      <c r="A13" s="14"/>
      <c r="B13" s="21" t="s">
        <v>35</v>
      </c>
      <c r="C13" s="22"/>
      <c r="D13" s="22" t="s">
        <v>38</v>
      </c>
      <c r="E13" s="23">
        <v>1.0</v>
      </c>
      <c r="F13" s="16">
        <f t="shared" si="1"/>
        <v>0.03125</v>
      </c>
      <c r="G13" s="18">
        <f t="shared" si="2"/>
        <v>-0.04703593682</v>
      </c>
      <c r="H13" s="25"/>
      <c r="I13" s="20"/>
    </row>
    <row r="14" ht="21.75" customHeight="1">
      <c r="A14" s="14"/>
      <c r="B14" s="21" t="s">
        <v>38</v>
      </c>
      <c r="C14" s="22"/>
      <c r="D14" s="22" t="s">
        <v>39</v>
      </c>
      <c r="E14" s="23">
        <v>1.0</v>
      </c>
      <c r="F14" s="16">
        <f t="shared" si="1"/>
        <v>0.03125</v>
      </c>
      <c r="G14" s="18">
        <f t="shared" si="2"/>
        <v>-0.04703593682</v>
      </c>
      <c r="H14" s="25" t="s">
        <v>40</v>
      </c>
      <c r="I14" s="26">
        <f>-SUM(G1:G28)</f>
        <v>1.422791111</v>
      </c>
      <c r="J14" s="27" t="s">
        <v>41</v>
      </c>
    </row>
    <row r="15" ht="21.75" customHeight="1">
      <c r="A15" s="14"/>
      <c r="B15" s="21" t="s">
        <v>39</v>
      </c>
      <c r="C15" s="22"/>
      <c r="D15" s="22" t="s">
        <v>42</v>
      </c>
      <c r="E15" s="23">
        <v>1.0</v>
      </c>
      <c r="F15" s="16">
        <f t="shared" si="1"/>
        <v>0.03125</v>
      </c>
      <c r="G15" s="18">
        <f t="shared" si="2"/>
        <v>-0.04703593682</v>
      </c>
      <c r="H15" s="28" t="s">
        <v>43</v>
      </c>
      <c r="I15" s="26">
        <f>LOG(I4)</f>
        <v>1.447158031</v>
      </c>
      <c r="J15" s="27" t="s">
        <v>44</v>
      </c>
    </row>
    <row r="16" ht="21.75" customHeight="1">
      <c r="A16" s="14"/>
      <c r="B16" s="21" t="s">
        <v>42</v>
      </c>
      <c r="C16" s="22"/>
      <c r="D16" s="22" t="s">
        <v>45</v>
      </c>
      <c r="E16" s="23">
        <v>1.0</v>
      </c>
      <c r="F16" s="16">
        <f t="shared" si="1"/>
        <v>0.03125</v>
      </c>
      <c r="G16" s="18">
        <f t="shared" si="2"/>
        <v>-0.04703593682</v>
      </c>
      <c r="H16" s="29"/>
      <c r="I16" s="29"/>
    </row>
    <row r="17" ht="21.75" customHeight="1">
      <c r="A17" s="14"/>
      <c r="B17" s="21" t="s">
        <v>45</v>
      </c>
      <c r="C17" s="22"/>
      <c r="D17" s="22" t="s">
        <v>46</v>
      </c>
      <c r="E17" s="23">
        <v>1.0</v>
      </c>
      <c r="F17" s="16">
        <f t="shared" si="1"/>
        <v>0.03125</v>
      </c>
      <c r="G17" s="18">
        <f t="shared" si="2"/>
        <v>-0.04703593682</v>
      </c>
      <c r="H17" s="29"/>
      <c r="I17" s="29"/>
    </row>
    <row r="18" ht="21.75" customHeight="1">
      <c r="A18" s="14"/>
      <c r="B18" s="21" t="s">
        <v>46</v>
      </c>
      <c r="C18" s="22"/>
      <c r="D18" s="22" t="s">
        <v>47</v>
      </c>
      <c r="E18" s="23">
        <v>1.0</v>
      </c>
      <c r="F18" s="16">
        <f t="shared" si="1"/>
        <v>0.03125</v>
      </c>
      <c r="G18" s="18">
        <f t="shared" si="2"/>
        <v>-0.04703593682</v>
      </c>
      <c r="H18" s="29"/>
      <c r="I18" s="29"/>
    </row>
    <row r="19" ht="21.75" customHeight="1">
      <c r="A19" s="14"/>
      <c r="B19" s="21" t="s">
        <v>47</v>
      </c>
      <c r="C19" s="22"/>
      <c r="D19" s="22" t="s">
        <v>48</v>
      </c>
      <c r="E19" s="23">
        <v>1.0</v>
      </c>
      <c r="F19" s="16">
        <f t="shared" si="1"/>
        <v>0.03125</v>
      </c>
      <c r="G19" s="18">
        <f t="shared" si="2"/>
        <v>-0.04703593682</v>
      </c>
      <c r="H19" s="29"/>
      <c r="I19" s="29"/>
    </row>
    <row r="20" ht="21.75" customHeight="1">
      <c r="A20" s="14"/>
      <c r="B20" s="21" t="s">
        <v>48</v>
      </c>
      <c r="C20" s="22"/>
      <c r="D20" s="22" t="s">
        <v>49</v>
      </c>
      <c r="E20" s="23">
        <v>1.0</v>
      </c>
      <c r="F20" s="16">
        <f t="shared" si="1"/>
        <v>0.03125</v>
      </c>
      <c r="G20" s="18">
        <f t="shared" si="2"/>
        <v>-0.04703593682</v>
      </c>
      <c r="H20" s="29"/>
      <c r="I20" s="29"/>
    </row>
    <row r="21" ht="21.75" customHeight="1">
      <c r="A21" s="14"/>
      <c r="B21" s="21" t="s">
        <v>49</v>
      </c>
      <c r="C21" s="22"/>
      <c r="D21" s="22" t="s">
        <v>50</v>
      </c>
      <c r="E21" s="23">
        <v>1.0</v>
      </c>
      <c r="F21" s="16">
        <f t="shared" si="1"/>
        <v>0.03125</v>
      </c>
      <c r="G21" s="18">
        <f t="shared" si="2"/>
        <v>-0.04703593682</v>
      </c>
      <c r="H21" s="19"/>
      <c r="I21" s="29"/>
    </row>
    <row r="22" ht="21.75" customHeight="1">
      <c r="A22" s="14"/>
      <c r="B22" s="21" t="s">
        <v>50</v>
      </c>
      <c r="C22" s="22"/>
      <c r="D22" s="22" t="s">
        <v>51</v>
      </c>
      <c r="E22" s="23">
        <v>3.0</v>
      </c>
      <c r="F22" s="16">
        <f t="shared" si="1"/>
        <v>0.09375</v>
      </c>
      <c r="G22" s="18">
        <f t="shared" si="2"/>
        <v>-0.09637769284</v>
      </c>
      <c r="H22" s="19"/>
      <c r="I22" s="29"/>
    </row>
    <row r="23" ht="21.75" customHeight="1">
      <c r="A23" s="14"/>
      <c r="B23" s="21" t="s">
        <v>51</v>
      </c>
      <c r="C23" s="22"/>
      <c r="D23" s="22" t="s">
        <v>52</v>
      </c>
      <c r="E23" s="23">
        <v>2.0</v>
      </c>
      <c r="F23" s="16">
        <f t="shared" si="1"/>
        <v>0.0625</v>
      </c>
      <c r="G23" s="18">
        <f t="shared" si="2"/>
        <v>-0.07525749892</v>
      </c>
      <c r="H23" s="19"/>
      <c r="I23" s="29"/>
    </row>
    <row r="24" ht="21.75" customHeight="1">
      <c r="A24" s="14"/>
      <c r="B24" s="21" t="s">
        <v>51</v>
      </c>
      <c r="C24" s="22"/>
      <c r="D24" s="22" t="s">
        <v>53</v>
      </c>
      <c r="E24" s="23">
        <v>1.0</v>
      </c>
      <c r="F24" s="16">
        <f t="shared" si="1"/>
        <v>0.03125</v>
      </c>
      <c r="G24" s="18">
        <f t="shared" si="2"/>
        <v>-0.04703593682</v>
      </c>
      <c r="H24" s="18"/>
      <c r="I24" s="29"/>
      <c r="J24" s="29"/>
    </row>
    <row r="25" ht="21.75" customHeight="1">
      <c r="A25" s="14"/>
      <c r="B25" s="21" t="s">
        <v>51</v>
      </c>
      <c r="C25" s="22"/>
      <c r="D25" s="22" t="s">
        <v>54</v>
      </c>
      <c r="E25" s="23">
        <v>1.0</v>
      </c>
      <c r="F25" s="16">
        <f t="shared" si="1"/>
        <v>0.03125</v>
      </c>
      <c r="G25" s="18">
        <f t="shared" si="2"/>
        <v>-0.04703593682</v>
      </c>
      <c r="H25" s="18"/>
      <c r="I25" s="29"/>
      <c r="J25" s="29"/>
    </row>
    <row r="26" ht="21.75" customHeight="1">
      <c r="A26" s="14"/>
      <c r="B26" s="21" t="s">
        <v>52</v>
      </c>
      <c r="C26" s="22"/>
      <c r="D26" s="22" t="s">
        <v>55</v>
      </c>
      <c r="E26" s="23">
        <v>1.0</v>
      </c>
      <c r="F26" s="16">
        <f t="shared" si="1"/>
        <v>0.03125</v>
      </c>
      <c r="G26" s="18">
        <f t="shared" si="2"/>
        <v>-0.04703593682</v>
      </c>
      <c r="H26" s="18"/>
      <c r="I26" s="29"/>
      <c r="J26" s="29"/>
    </row>
    <row r="27" ht="21.75" customHeight="1">
      <c r="A27" s="14"/>
      <c r="B27" s="21" t="s">
        <v>52</v>
      </c>
      <c r="C27" s="22"/>
      <c r="D27" s="22" t="s">
        <v>56</v>
      </c>
      <c r="E27" s="23">
        <v>1.0</v>
      </c>
      <c r="F27" s="16">
        <f t="shared" si="1"/>
        <v>0.03125</v>
      </c>
      <c r="G27" s="18">
        <f t="shared" si="2"/>
        <v>-0.04703593682</v>
      </c>
      <c r="H27" s="18"/>
      <c r="I27" s="29"/>
      <c r="J27" s="29"/>
    </row>
    <row r="28" ht="21.75" customHeight="1">
      <c r="A28" s="14"/>
      <c r="B28" s="21" t="s">
        <v>53</v>
      </c>
      <c r="C28" s="22"/>
      <c r="D28" s="22" t="s">
        <v>57</v>
      </c>
      <c r="E28" s="23">
        <v>1.0</v>
      </c>
      <c r="F28" s="16">
        <f t="shared" si="1"/>
        <v>0.03125</v>
      </c>
      <c r="G28" s="18">
        <f t="shared" si="2"/>
        <v>-0.04703593682</v>
      </c>
      <c r="H28" s="18"/>
      <c r="I28" s="29"/>
      <c r="J28" s="29"/>
    </row>
    <row r="29" ht="21.75" customHeight="1">
      <c r="A29" s="14"/>
      <c r="B29" s="21" t="s">
        <v>54</v>
      </c>
      <c r="C29" s="22"/>
      <c r="D29" s="22"/>
      <c r="E29" s="23"/>
      <c r="F29" s="22"/>
      <c r="G29" s="18"/>
      <c r="H29" s="18"/>
      <c r="I29" s="29"/>
      <c r="J29" s="29"/>
    </row>
    <row r="30" ht="21.75" customHeight="1">
      <c r="A30" s="14"/>
      <c r="B30" s="21" t="s">
        <v>55</v>
      </c>
      <c r="C30" s="22"/>
      <c r="D30" s="22"/>
      <c r="E30" s="22"/>
      <c r="F30" s="22"/>
      <c r="G30" s="18"/>
      <c r="H30" s="18"/>
      <c r="I30" s="29"/>
      <c r="J30" s="29"/>
    </row>
    <row r="31" ht="21.75" customHeight="1">
      <c r="A31" s="14"/>
      <c r="B31" s="21" t="s">
        <v>56</v>
      </c>
      <c r="C31" s="22"/>
      <c r="D31" s="22"/>
      <c r="E31" s="22"/>
      <c r="F31" s="22"/>
      <c r="G31" s="18"/>
      <c r="H31" s="18"/>
      <c r="I31" s="29"/>
      <c r="J31" s="29"/>
    </row>
    <row r="32" ht="21.75" customHeight="1">
      <c r="A32" s="14"/>
      <c r="B32" s="21" t="s">
        <v>57</v>
      </c>
      <c r="C32" s="22"/>
      <c r="D32" s="22"/>
      <c r="E32" s="22"/>
      <c r="F32" s="22"/>
      <c r="G32" s="18"/>
      <c r="H32" s="18"/>
      <c r="I32" s="29"/>
      <c r="J32" s="29"/>
    </row>
    <row r="33" ht="21.75" customHeight="1">
      <c r="A33" s="14"/>
      <c r="B33" s="22"/>
      <c r="C33" s="22"/>
      <c r="D33" s="22"/>
      <c r="E33" s="22"/>
      <c r="F33" s="22"/>
      <c r="G33" s="18"/>
      <c r="H33" s="18"/>
      <c r="I33" s="29"/>
      <c r="J33" s="29"/>
    </row>
    <row r="34" ht="21.75" customHeight="1">
      <c r="A34" s="14"/>
      <c r="B34" s="22"/>
      <c r="C34" s="22"/>
      <c r="D34" s="22"/>
      <c r="E34" s="22"/>
      <c r="F34" s="22"/>
      <c r="G34" s="18"/>
      <c r="H34" s="18"/>
      <c r="I34" s="29"/>
      <c r="J34" s="29"/>
    </row>
    <row r="35" ht="21.75" customHeight="1">
      <c r="A35" s="14"/>
      <c r="B35" s="22"/>
      <c r="C35" s="22"/>
      <c r="D35" s="22"/>
      <c r="E35" s="22"/>
      <c r="F35" s="22"/>
      <c r="G35" s="18"/>
      <c r="H35" s="18"/>
      <c r="I35" s="29"/>
      <c r="J35" s="29"/>
    </row>
    <row r="36" ht="21.75" customHeight="1">
      <c r="A36" s="14"/>
      <c r="B36" s="30"/>
      <c r="C36" s="30"/>
      <c r="D36" s="30"/>
      <c r="E36" s="30"/>
      <c r="F36" s="30"/>
      <c r="G36" s="18"/>
      <c r="H36" s="18"/>
      <c r="I36" s="29"/>
      <c r="J36" s="29"/>
    </row>
    <row r="37" ht="15.75" customHeight="1">
      <c r="B37" s="31"/>
      <c r="C37" s="31"/>
      <c r="D37" s="31"/>
      <c r="E37" s="31"/>
      <c r="F37" s="31"/>
      <c r="G37" s="31"/>
      <c r="H37" s="31"/>
      <c r="I37" s="31"/>
      <c r="J37" s="31"/>
    </row>
    <row r="38" ht="15.75" customHeight="1">
      <c r="B38" s="31"/>
      <c r="C38" s="31"/>
      <c r="D38" s="31"/>
      <c r="E38" s="31"/>
      <c r="F38" s="31"/>
      <c r="G38" s="31"/>
      <c r="H38" s="31"/>
      <c r="I38" s="31"/>
      <c r="J38" s="3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